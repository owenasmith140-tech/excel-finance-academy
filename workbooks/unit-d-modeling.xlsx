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D1 Income Statement" sheetId="2" state="visible" r:id="rId2"/>
    <sheet name="D1 Balance Sheet" sheetId="3" state="visible" r:id="rId3"/>
    <sheet name="D1 Cash Flow" sheetId="4" state="visible" r:id="rId4"/>
    <sheet name="D2 DCF Model" sheetId="5" state="visible" r:id="rId5"/>
    <sheet name="D3 Best Practi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</font>
    <font>
      <name val="Arial"/>
      <i val="1"/>
    </font>
    <font>
      <name val="Arial"/>
      <b val="1"/>
    </font>
    <font>
      <name val="Arial"/>
      <color rgb="000000FF"/>
    </font>
    <font>
      <name val="Arial"/>
      <b val="1"/>
      <color rgb="00FFFFFF"/>
    </font>
    <font>
      <name val="Arial"/>
    </font>
    <font>
      <name val="Arial"/>
      <i val="1"/>
      <color rgb="00777777"/>
      <sz val="9"/>
    </font>
    <font>
      <name val="Arial"/>
      <color rgb="00008000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5" fillId="0" borderId="0" pivotButton="0" quotePrefix="0" xfId="0"/>
    <xf numFmtId="0" fontId="5" fillId="0" borderId="0" pivotButton="0" quotePrefix="0" xfId="0"/>
    <xf numFmtId="0" fontId="6" fillId="2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6" customWidth="1" min="1" max="1"/>
    <col width="55" customWidth="1" min="2" max="2"/>
  </cols>
  <sheetData>
    <row r="1">
      <c r="A1" s="1" t="inlineStr">
        <is>
          <t>Excel for Finance — Unit D Practice Workbook</t>
        </is>
      </c>
    </row>
    <row r="2">
      <c r="A2" s="2" t="inlineStr">
        <is>
          <t>Companion to the 'Financial Modeling' unit on the course website.</t>
        </is>
      </c>
    </row>
    <row r="4">
      <c r="A4" s="3" t="inlineStr">
        <is>
          <t>This unit's sheets are fully worked examples for you to study, trace, and adapt — not fill-in-the-blank exercises.</t>
        </is>
      </c>
    </row>
    <row r="5"/>
  </sheetData>
  <mergeCells count="1">
    <mergeCell ref="A4:F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</cols>
  <sheetData>
    <row r="1">
      <c r="A1" s="1" t="inlineStr">
        <is>
          <t>D1 · 3-Statement Model — Income Statement</t>
        </is>
      </c>
    </row>
    <row r="2">
      <c r="A2" s="2" t="inlineStr">
        <is>
          <t>Two-year projection, driven by a growth and margin assumption.</t>
        </is>
      </c>
    </row>
    <row r="3"/>
    <row r="4"/>
    <row r="5">
      <c r="A5" s="4" t="inlineStr">
        <is>
          <t>Revenue growth</t>
        </is>
      </c>
      <c r="B5" s="5" t="n">
        <v>0.08</v>
      </c>
    </row>
    <row r="6">
      <c r="A6" s="4" t="inlineStr">
        <is>
          <t>COGS % of revenue</t>
        </is>
      </c>
      <c r="B6" s="5" t="n">
        <v>0.55</v>
      </c>
    </row>
    <row r="7">
      <c r="A7" s="4" t="inlineStr">
        <is>
          <t>OpEx % of revenue</t>
        </is>
      </c>
      <c r="B7" s="5" t="n">
        <v>0.2</v>
      </c>
    </row>
    <row r="8">
      <c r="A8" s="4" t="inlineStr">
        <is>
          <t>Tax rate</t>
        </is>
      </c>
      <c r="B8" s="5" t="n">
        <v>0.21</v>
      </c>
    </row>
    <row r="9">
      <c r="A9" s="4" t="inlineStr">
        <is>
          <t>D&amp;A ($000)</t>
        </is>
      </c>
      <c r="B9" s="6" t="n">
        <v>50</v>
      </c>
      <c r="C9" s="6" t="n">
        <v>55</v>
      </c>
    </row>
    <row r="10">
      <c r="A10" s="4" t="inlineStr">
        <is>
          <t>Interest expense ($000)</t>
        </is>
      </c>
      <c r="B10" s="6" t="n">
        <v>20</v>
      </c>
      <c r="C10" s="6" t="n">
        <v>20</v>
      </c>
    </row>
    <row r="11"/>
    <row r="12"/>
    <row r="13">
      <c r="A13" s="7" t="inlineStr">
        <is>
          <t>Line item ($000)</t>
        </is>
      </c>
      <c r="B13" s="7" t="inlineStr">
        <is>
          <t>Year 1</t>
        </is>
      </c>
      <c r="C13" s="7" t="inlineStr">
        <is>
          <t>Year 2</t>
        </is>
      </c>
    </row>
    <row r="14">
      <c r="A14" s="8" t="inlineStr">
        <is>
          <t>Revenue</t>
        </is>
      </c>
      <c r="B14" s="6" t="n">
        <v>1000</v>
      </c>
      <c r="C14">
        <f>B14*(1+$B$5)</f>
        <v/>
      </c>
    </row>
    <row r="15">
      <c r="A15" s="8" t="inlineStr">
        <is>
          <t>COGS</t>
        </is>
      </c>
      <c r="B15">
        <f>-B14*$B$6</f>
        <v/>
      </c>
      <c r="C15">
        <f>-C14*$B$6</f>
        <v/>
      </c>
    </row>
    <row r="16">
      <c r="A16" s="4" t="inlineStr">
        <is>
          <t>Gross Profit</t>
        </is>
      </c>
      <c r="B16">
        <f>B14+B15</f>
        <v/>
      </c>
      <c r="C16">
        <f>C14+C15</f>
        <v/>
      </c>
    </row>
    <row r="17">
      <c r="A17" s="8" t="inlineStr">
        <is>
          <t>Operating Expenses</t>
        </is>
      </c>
      <c r="B17">
        <f>-B14*$B$7</f>
        <v/>
      </c>
      <c r="C17">
        <f>-C14*$B$7</f>
        <v/>
      </c>
    </row>
    <row r="18">
      <c r="A18" s="4" t="inlineStr">
        <is>
          <t>EBITDA</t>
        </is>
      </c>
      <c r="B18">
        <f>B16+B17</f>
        <v/>
      </c>
      <c r="C18">
        <f>C16+C17</f>
        <v/>
      </c>
    </row>
    <row r="19">
      <c r="A19" s="8" t="inlineStr">
        <is>
          <t>D&amp;A</t>
        </is>
      </c>
      <c r="B19">
        <f>-B9</f>
        <v/>
      </c>
      <c r="C19">
        <f>-C9</f>
        <v/>
      </c>
    </row>
    <row r="20">
      <c r="A20" s="4" t="inlineStr">
        <is>
          <t>EBIT</t>
        </is>
      </c>
      <c r="B20">
        <f>B18+B19</f>
        <v/>
      </c>
      <c r="C20">
        <f>C18+C19</f>
        <v/>
      </c>
    </row>
    <row r="21">
      <c r="A21" s="8" t="inlineStr">
        <is>
          <t>Interest Expense</t>
        </is>
      </c>
      <c r="B21">
        <f>-B10</f>
        <v/>
      </c>
      <c r="C21">
        <f>-C10</f>
        <v/>
      </c>
    </row>
    <row r="22">
      <c r="A22" s="4" t="inlineStr">
        <is>
          <t>Pretax Income</t>
        </is>
      </c>
      <c r="B22">
        <f>B20+B21</f>
        <v/>
      </c>
      <c r="C22">
        <f>C20+C21</f>
        <v/>
      </c>
    </row>
    <row r="23">
      <c r="A23" s="8" t="inlineStr">
        <is>
          <t>Tax</t>
        </is>
      </c>
      <c r="B23">
        <f>-B22*$B$8</f>
        <v/>
      </c>
      <c r="C23">
        <f>-C22*$B$8</f>
        <v/>
      </c>
    </row>
    <row r="24">
      <c r="A24" s="4" t="inlineStr">
        <is>
          <t>Net Income</t>
        </is>
      </c>
      <c r="B24" s="4">
        <f>B22+B23</f>
        <v/>
      </c>
      <c r="C24" s="4">
        <f>C22+C23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</cols>
  <sheetData>
    <row r="1">
      <c r="A1" s="1" t="inlineStr">
        <is>
          <t>D1 · 3-Statement Model — Balance Sheet</t>
        </is>
      </c>
    </row>
    <row r="2">
      <c r="A2" s="2" t="inlineStr">
        <is>
          <t>Retained earnings links from net income; cash links from the cash flow statement.</t>
        </is>
      </c>
    </row>
    <row r="3"/>
    <row r="4"/>
    <row r="5">
      <c r="A5" s="4" t="inlineStr">
        <is>
          <t>Beginning common stock ($000)</t>
        </is>
      </c>
      <c r="B5" s="6" t="n">
        <v>300</v>
      </c>
    </row>
    <row r="6">
      <c r="A6" s="4" t="inlineStr">
        <is>
          <t>Beginning retained earnings ($000)</t>
        </is>
      </c>
      <c r="B6" s="6" t="n">
        <v>150</v>
      </c>
    </row>
    <row r="7">
      <c r="A7" s="4" t="inlineStr">
        <is>
          <t>Beginning PP&amp;E, net ($000)</t>
        </is>
      </c>
      <c r="B7" s="6" t="n">
        <v>400</v>
      </c>
    </row>
    <row r="8">
      <c r="A8" s="9" t="inlineStr">
        <is>
          <t>AR, Inventory, AP, Debt — held flat for simplicity ($000)</t>
        </is>
      </c>
    </row>
    <row r="9">
      <c r="A9" s="4" t="inlineStr">
        <is>
          <t>AR</t>
        </is>
      </c>
      <c r="B9" s="6" t="n">
        <v>120</v>
      </c>
      <c r="C9" s="6" t="n">
        <v>120</v>
      </c>
    </row>
    <row r="10">
      <c r="A10" s="4" t="inlineStr">
        <is>
          <t>Inventory</t>
        </is>
      </c>
      <c r="B10" s="6" t="n">
        <v>90</v>
      </c>
      <c r="C10" s="6" t="n">
        <v>90</v>
      </c>
    </row>
    <row r="11">
      <c r="A11" s="4" t="inlineStr">
        <is>
          <t>AP</t>
        </is>
      </c>
      <c r="B11" s="6" t="n">
        <v>-80</v>
      </c>
      <c r="C11" s="6" t="n">
        <v>-80</v>
      </c>
    </row>
    <row r="12">
      <c r="A12" s="4" t="inlineStr">
        <is>
          <t>Debt</t>
        </is>
      </c>
      <c r="B12" s="6" t="n">
        <v>-250</v>
      </c>
      <c r="C12" s="6" t="n">
        <v>-250</v>
      </c>
    </row>
    <row r="13">
      <c r="A13" s="4" t="inlineStr">
        <is>
          <t>Beginning cash ($000)</t>
        </is>
      </c>
      <c r="B13" s="6" t="n">
        <v>170</v>
      </c>
      <c r="C13" s="9" t="inlineStr">
        <is>
          <t>Plug so the implied opening balance sheet balances: (AP 80 + Debt 250 + Common Stock 300 + Retained Earnings 150) - (AR 120 + Inventory 90 + PP&amp;E 400) = 170.</t>
        </is>
      </c>
    </row>
    <row r="14"/>
    <row r="15"/>
    <row r="16">
      <c r="A16" s="7" t="inlineStr">
        <is>
          <t>Balance Sheet ($000)</t>
        </is>
      </c>
      <c r="B16" s="7" t="inlineStr">
        <is>
          <t>Year 1</t>
        </is>
      </c>
      <c r="C16" s="7" t="inlineStr">
        <is>
          <t>Year 2</t>
        </is>
      </c>
    </row>
    <row r="17">
      <c r="A17" t="inlineStr">
        <is>
          <t>Cash</t>
        </is>
      </c>
      <c r="B17" s="10">
        <f>'D1 Cash Flow'!B16</f>
        <v/>
      </c>
      <c r="C17" s="10">
        <f>'D1 Cash Flow'!C16</f>
        <v/>
      </c>
    </row>
    <row r="18">
      <c r="A18" t="inlineStr">
        <is>
          <t>AR</t>
        </is>
      </c>
      <c r="B18">
        <f>B9</f>
        <v/>
      </c>
      <c r="C18">
        <f>C9</f>
        <v/>
      </c>
    </row>
    <row r="19">
      <c r="A19" t="inlineStr">
        <is>
          <t>Inventory</t>
        </is>
      </c>
      <c r="B19">
        <f>B10</f>
        <v/>
      </c>
      <c r="C19">
        <f>C10</f>
        <v/>
      </c>
    </row>
    <row r="20">
      <c r="A20" t="inlineStr">
        <is>
          <t>PP&amp;E, net</t>
        </is>
      </c>
      <c r="B20" s="10">
        <f>$B$7-'D1 Income Statement'!B9</f>
        <v/>
      </c>
      <c r="C20" s="10">
        <f>B20-'D1 Income Statement'!C9</f>
        <v/>
      </c>
    </row>
    <row r="21">
      <c r="A21" s="4" t="inlineStr">
        <is>
          <t>Total Assets</t>
        </is>
      </c>
      <c r="B21" s="4">
        <f>SUM(B17:B20)</f>
        <v/>
      </c>
      <c r="C21" s="4">
        <f>SUM(C17:C20)</f>
        <v/>
      </c>
    </row>
    <row r="22"/>
    <row r="23">
      <c r="A23" t="inlineStr">
        <is>
          <t>AP</t>
        </is>
      </c>
      <c r="B23">
        <f>-B11</f>
        <v/>
      </c>
      <c r="C23">
        <f>-C11</f>
        <v/>
      </c>
    </row>
    <row r="24">
      <c r="A24" t="inlineStr">
        <is>
          <t>Debt</t>
        </is>
      </c>
      <c r="B24">
        <f>-B12</f>
        <v/>
      </c>
      <c r="C24">
        <f>-C12</f>
        <v/>
      </c>
    </row>
    <row r="25">
      <c r="A25" s="4" t="inlineStr">
        <is>
          <t>Total Liabilities</t>
        </is>
      </c>
      <c r="B25" s="4">
        <f>SUM(B23:B24)</f>
        <v/>
      </c>
      <c r="C25" s="4">
        <f>SUM(C23:C24)</f>
        <v/>
      </c>
    </row>
    <row r="26"/>
    <row r="27">
      <c r="A27" t="inlineStr">
        <is>
          <t>Common Stock</t>
        </is>
      </c>
      <c r="B27">
        <f>$B$5</f>
        <v/>
      </c>
      <c r="C27">
        <f>$B$5</f>
        <v/>
      </c>
    </row>
    <row r="28">
      <c r="A28" t="inlineStr">
        <is>
          <t>Retained Earnings</t>
        </is>
      </c>
      <c r="B28" s="10">
        <f>$B$6+'D1 Income Statement'!B24</f>
        <v/>
      </c>
      <c r="C28" s="10">
        <f>B28+'D1 Income Statement'!C24</f>
        <v/>
      </c>
    </row>
    <row r="29">
      <c r="A29" s="4" t="inlineStr">
        <is>
          <t>Total Equity</t>
        </is>
      </c>
      <c r="B29" s="4">
        <f>B27+B28</f>
        <v/>
      </c>
      <c r="C29" s="4">
        <f>C27+C28</f>
        <v/>
      </c>
    </row>
    <row r="30"/>
    <row r="31">
      <c r="A31" s="4" t="inlineStr">
        <is>
          <t>Check: Assets - Liab - Equity</t>
        </is>
      </c>
      <c r="B31">
        <f>B21-B25-B29</f>
        <v/>
      </c>
      <c r="C31">
        <f>C21-C25-C29</f>
        <v/>
      </c>
    </row>
  </sheetData>
  <mergeCells count="4">
    <mergeCell ref="A2:F2"/>
    <mergeCell ref="A8:C8"/>
    <mergeCell ref="C13:F14"/>
    <mergeCell ref="A1:F1"/>
  </mergeCells>
  <conditionalFormatting sqref="B31:C31">
    <cfRule type="cellIs" priority="1" operator="notEqual" dxfId="0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</cols>
  <sheetData>
    <row r="1">
      <c r="A1" s="1" t="inlineStr">
        <is>
          <t>D1 · 3-Statement Model — Cash Flow Statement</t>
        </is>
      </c>
    </row>
    <row r="2">
      <c r="A2" s="2" t="inlineStr">
        <is>
          <t>Reconciles net income to the change in cash; ending cash feeds the balance sheet.</t>
        </is>
      </c>
    </row>
    <row r="3"/>
    <row r="4"/>
    <row r="5">
      <c r="A5" s="4" t="inlineStr">
        <is>
          <t>Beginning cash ($000)</t>
        </is>
      </c>
      <c r="B5" s="10">
        <f>'D1 Balance Sheet'!B13</f>
        <v/>
      </c>
    </row>
    <row r="6"/>
    <row r="7"/>
    <row r="8">
      <c r="A8" s="7" t="inlineStr">
        <is>
          <t>Cash Flow ($000)</t>
        </is>
      </c>
      <c r="B8" s="7" t="inlineStr">
        <is>
          <t>Year 1</t>
        </is>
      </c>
      <c r="C8" s="7" t="inlineStr">
        <is>
          <t>Year 2</t>
        </is>
      </c>
    </row>
    <row r="9">
      <c r="A9" t="inlineStr">
        <is>
          <t>Net Income</t>
        </is>
      </c>
      <c r="B9" s="10">
        <f>'D1 Income Statement'!B24</f>
        <v/>
      </c>
      <c r="C9" s="10">
        <f>'D1 Income Statement'!C24</f>
        <v/>
      </c>
    </row>
    <row r="10">
      <c r="A10" t="inlineStr">
        <is>
          <t>Add back D&amp;A</t>
        </is>
      </c>
      <c r="B10" s="10">
        <f>'D1 Income Statement'!B9</f>
        <v/>
      </c>
      <c r="C10" s="10">
        <f>'D1 Income Statement'!C9</f>
        <v/>
      </c>
    </row>
    <row r="11">
      <c r="A11" s="8" t="inlineStr">
        <is>
          <t>Change in Working Capital</t>
        </is>
      </c>
      <c r="B11" s="6" t="n">
        <v>0</v>
      </c>
      <c r="C11" s="6" t="n">
        <v>0</v>
      </c>
    </row>
    <row r="12">
      <c r="A12" s="8" t="inlineStr">
        <is>
          <t>CapEx</t>
        </is>
      </c>
      <c r="B12" s="6" t="n">
        <v>0</v>
      </c>
      <c r="C12" s="6" t="n">
        <v>0</v>
      </c>
    </row>
    <row r="13">
      <c r="A13" s="4" t="inlineStr">
        <is>
          <t>Net Change in Cash</t>
        </is>
      </c>
      <c r="B13" s="4">
        <f>SUM(B9:B12)</f>
        <v/>
      </c>
      <c r="C13" s="4">
        <f>SUM(C9:C12)</f>
        <v/>
      </c>
    </row>
    <row r="14"/>
    <row r="15">
      <c r="A15" t="inlineStr">
        <is>
          <t>Beginning Cash</t>
        </is>
      </c>
      <c r="B15">
        <f>$B$5</f>
        <v/>
      </c>
      <c r="C15">
        <f>B16</f>
        <v/>
      </c>
    </row>
    <row r="16">
      <c r="A16" s="4" t="inlineStr">
        <is>
          <t>Ending Cash</t>
        </is>
      </c>
      <c r="B16" s="4">
        <f>B15+B13</f>
        <v/>
      </c>
      <c r="C16" s="4">
        <f>C15+C13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</cols>
  <sheetData>
    <row r="1">
      <c r="A1" s="1" t="inlineStr">
        <is>
          <t>D2 · DCF Model</t>
        </is>
      </c>
    </row>
    <row r="2">
      <c r="A2" s="2" t="inlineStr">
        <is>
          <t>5-year unlevered free cash flow, discounted, plus a terminal value.</t>
        </is>
      </c>
    </row>
    <row r="3"/>
    <row r="4"/>
    <row r="5">
      <c r="A5" s="4" t="inlineStr">
        <is>
          <t>Year 1 Revenue ($000)</t>
        </is>
      </c>
      <c r="B5" s="6" t="n">
        <v>1000</v>
      </c>
    </row>
    <row r="6">
      <c r="A6" s="4" t="inlineStr">
        <is>
          <t>Revenue growth</t>
        </is>
      </c>
      <c r="B6" s="5" t="n">
        <v>0.1</v>
      </c>
    </row>
    <row r="7">
      <c r="A7" s="4" t="inlineStr">
        <is>
          <t>EBIT margin</t>
        </is>
      </c>
      <c r="B7" s="5" t="n">
        <v>0.22</v>
      </c>
    </row>
    <row r="8">
      <c r="A8" s="4" t="inlineStr">
        <is>
          <t>Tax rate</t>
        </is>
      </c>
      <c r="B8" s="5" t="n">
        <v>0.21</v>
      </c>
    </row>
    <row r="9">
      <c r="A9" s="4" t="inlineStr">
        <is>
          <t>D&amp;A % of revenue</t>
        </is>
      </c>
      <c r="B9" s="5" t="n">
        <v>0.05</v>
      </c>
    </row>
    <row r="10">
      <c r="A10" s="4" t="inlineStr">
        <is>
          <t>CapEx % of revenue</t>
        </is>
      </c>
      <c r="B10" s="5" t="n">
        <v>0.06</v>
      </c>
    </row>
    <row r="11">
      <c r="A11" s="4" t="inlineStr">
        <is>
          <t>WACC</t>
        </is>
      </c>
      <c r="B11" s="5" t="n">
        <v>0.09</v>
      </c>
    </row>
    <row r="12">
      <c r="A12" s="4" t="inlineStr">
        <is>
          <t>Terminal growth rate</t>
        </is>
      </c>
      <c r="B12" s="5" t="n">
        <v>0.025</v>
      </c>
    </row>
    <row r="13"/>
    <row r="14"/>
    <row r="15">
      <c r="A15" s="7" t="inlineStr">
        <is>
          <t>($000)</t>
        </is>
      </c>
      <c r="B15" s="7" t="inlineStr">
        <is>
          <t>Year 1</t>
        </is>
      </c>
      <c r="C15" s="7" t="inlineStr">
        <is>
          <t>Year 2</t>
        </is>
      </c>
      <c r="D15" s="7" t="inlineStr">
        <is>
          <t>Year 3</t>
        </is>
      </c>
      <c r="E15" s="7" t="inlineStr">
        <is>
          <t>Year 4</t>
        </is>
      </c>
      <c r="F15" s="7" t="inlineStr">
        <is>
          <t>Year 5</t>
        </is>
      </c>
    </row>
    <row r="16">
      <c r="A16" t="inlineStr">
        <is>
          <t>Revenue</t>
        </is>
      </c>
      <c r="B16">
        <f>$B$5</f>
        <v/>
      </c>
      <c r="C16">
        <f>B16*(1+$B$6)</f>
        <v/>
      </c>
      <c r="D16">
        <f>C16*(1+$B$6)</f>
        <v/>
      </c>
      <c r="E16">
        <f>D16*(1+$B$6)</f>
        <v/>
      </c>
      <c r="F16">
        <f>E16*(1+$B$6)</f>
        <v/>
      </c>
    </row>
    <row r="17">
      <c r="A17" t="inlineStr">
        <is>
          <t>EBIT</t>
        </is>
      </c>
      <c r="B17">
        <f>B16*$B$7</f>
        <v/>
      </c>
      <c r="C17">
        <f>C16*$B$7</f>
        <v/>
      </c>
      <c r="D17">
        <f>D16*$B$7</f>
        <v/>
      </c>
      <c r="E17">
        <f>E16*$B$7</f>
        <v/>
      </c>
      <c r="F17">
        <f>F16*$B$7</f>
        <v/>
      </c>
    </row>
    <row r="18">
      <c r="A18" t="inlineStr">
        <is>
          <t>NOPAT (after-tax EBIT)</t>
        </is>
      </c>
      <c r="B18">
        <f>B17*(1-$B$8)</f>
        <v/>
      </c>
      <c r="C18">
        <f>C17*(1-$B$8)</f>
        <v/>
      </c>
      <c r="D18">
        <f>D17*(1-$B$8)</f>
        <v/>
      </c>
      <c r="E18">
        <f>E17*(1-$B$8)</f>
        <v/>
      </c>
      <c r="F18">
        <f>F17*(1-$B$8)</f>
        <v/>
      </c>
    </row>
    <row r="19">
      <c r="A19" t="inlineStr">
        <is>
          <t>+ D&amp;A</t>
        </is>
      </c>
      <c r="B19">
        <f>B16*$B$9</f>
        <v/>
      </c>
      <c r="C19">
        <f>C16*$B$9</f>
        <v/>
      </c>
      <c r="D19">
        <f>D16*$B$9</f>
        <v/>
      </c>
      <c r="E19">
        <f>E16*$B$9</f>
        <v/>
      </c>
      <c r="F19">
        <f>F16*$B$9</f>
        <v/>
      </c>
    </row>
    <row r="20">
      <c r="A20" t="inlineStr">
        <is>
          <t>- CapEx</t>
        </is>
      </c>
      <c r="B20">
        <f>-B16*$B$10</f>
        <v/>
      </c>
      <c r="C20">
        <f>-C16*$B$10</f>
        <v/>
      </c>
      <c r="D20">
        <f>-D16*$B$10</f>
        <v/>
      </c>
      <c r="E20">
        <f>-E16*$B$10</f>
        <v/>
      </c>
      <c r="F20">
        <f>-F16*$B$10</f>
        <v/>
      </c>
    </row>
    <row r="21">
      <c r="A21" s="4" t="inlineStr">
        <is>
          <t>Free Cash Flow</t>
        </is>
      </c>
      <c r="B21" s="4">
        <f>B18+B19+B20</f>
        <v/>
      </c>
      <c r="C21" s="4">
        <f>C18+C19+C20</f>
        <v/>
      </c>
      <c r="D21" s="4">
        <f>D18+D19+D20</f>
        <v/>
      </c>
      <c r="E21" s="4">
        <f>E18+E19+E20</f>
        <v/>
      </c>
      <c r="F21" s="4">
        <f>F18+F19+F20</f>
        <v/>
      </c>
    </row>
    <row r="22"/>
    <row r="23">
      <c r="A23" t="inlineStr">
        <is>
          <t>Discount Factor</t>
        </is>
      </c>
      <c r="B23">
        <f>1/(1+$B$11)^1</f>
        <v/>
      </c>
      <c r="C23">
        <f>1/(1+$B$11)^2</f>
        <v/>
      </c>
      <c r="D23">
        <f>1/(1+$B$11)^3</f>
        <v/>
      </c>
      <c r="E23">
        <f>1/(1+$B$11)^4</f>
        <v/>
      </c>
      <c r="F23">
        <f>1/(1+$B$11)^5</f>
        <v/>
      </c>
    </row>
    <row r="24">
      <c r="A24" t="inlineStr">
        <is>
          <t>PV of FCF</t>
        </is>
      </c>
      <c r="B24">
        <f>B21*B23</f>
        <v/>
      </c>
      <c r="C24">
        <f>C21*C23</f>
        <v/>
      </c>
      <c r="D24">
        <f>D21*D23</f>
        <v/>
      </c>
      <c r="E24">
        <f>E21*E23</f>
        <v/>
      </c>
      <c r="F24">
        <f>F21*F23</f>
        <v/>
      </c>
    </row>
    <row r="25"/>
    <row r="26">
      <c r="A26" s="4" t="inlineStr">
        <is>
          <t>Terminal Value (Year 5)</t>
        </is>
      </c>
      <c r="B26">
        <f>F21*(1+$B$12)/($B$11-$B$12)</f>
        <v/>
      </c>
    </row>
    <row r="27">
      <c r="A27" s="4" t="inlineStr">
        <is>
          <t>PV of Terminal Value</t>
        </is>
      </c>
      <c r="B27">
        <f>B26*F23</f>
        <v/>
      </c>
    </row>
    <row r="28"/>
    <row r="29">
      <c r="A29" s="4" t="inlineStr">
        <is>
          <t>Enterprise Value</t>
        </is>
      </c>
      <c r="B29" s="4">
        <f>SUM(B24:F24)+B27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</cols>
  <sheetData>
    <row r="1">
      <c r="A1" s="1" t="inlineStr">
        <is>
          <t>D3 · Dashboard &amp; Modeling Best Practices</t>
        </is>
      </c>
    </row>
    <row r="2">
      <c r="A2" s="2" t="inlineStr">
        <is>
          <t>The standard color convention, applied.</t>
        </is>
      </c>
    </row>
    <row r="3"/>
    <row r="4"/>
    <row r="5">
      <c r="A5" s="6" t="inlineStr">
        <is>
          <t>Blue text</t>
        </is>
      </c>
      <c r="B5" t="inlineStr">
        <is>
          <t>A hardcoded input — e.g. a growth rate you typed in</t>
        </is>
      </c>
    </row>
    <row r="6">
      <c r="A6" s="8" t="inlineStr">
        <is>
          <t>Black text</t>
        </is>
      </c>
      <c r="B6" t="inlineStr">
        <is>
          <t>A formula referencing other cells on this sheet</t>
        </is>
      </c>
    </row>
    <row r="7">
      <c r="A7" s="10" t="inlineStr">
        <is>
          <t>Green text</t>
        </is>
      </c>
      <c r="B7" t="inlineStr">
        <is>
          <t>A formula linking to a different sheet</t>
        </is>
      </c>
    </row>
    <row r="8"/>
    <row r="9">
      <c r="A9" s="4" t="inlineStr">
        <is>
          <t>Example: revenue growth assumption</t>
        </is>
      </c>
    </row>
    <row r="10">
      <c r="A10" t="inlineStr">
        <is>
          <t>Growth rate</t>
        </is>
      </c>
      <c r="B10" s="5" t="n">
        <v>0.08</v>
      </c>
    </row>
    <row r="11">
      <c r="A11" t="inlineStr">
        <is>
          <t>Prior revenue</t>
        </is>
      </c>
      <c r="B11" s="6" t="n">
        <v>1000</v>
      </c>
    </row>
    <row r="12">
      <c r="A12" t="inlineStr">
        <is>
          <t>This year's revenue (=B11*(1+B10))</t>
        </is>
      </c>
      <c r="B12">
        <f>B11*(1+B10)</f>
        <v/>
      </c>
    </row>
    <row r="13"/>
    <row r="14">
      <c r="A14" s="4" t="inlineStr">
        <is>
          <t>Example: safe division with IFERROR</t>
        </is>
      </c>
    </row>
    <row r="15">
      <c r="A15" t="inlineStr">
        <is>
          <t>Net income</t>
        </is>
      </c>
      <c r="B15" s="6" t="n">
        <v>0</v>
      </c>
    </row>
    <row r="16">
      <c r="A16" t="inlineStr">
        <is>
          <t>Shares outstanding</t>
        </is>
      </c>
      <c r="B16" s="6" t="n">
        <v>0</v>
      </c>
    </row>
    <row r="17">
      <c r="A17" t="inlineStr">
        <is>
          <t>EPS (=IFERROR(NI/shares,"n/a"))</t>
        </is>
      </c>
      <c r="B17">
        <f>IFERROR(B15/B16,"n/a")</f>
        <v/>
      </c>
    </row>
    <row r="18"/>
    <row r="19">
      <c r="A19" s="3" t="inlineStr">
        <is>
          <t>Notice EPS shows "n/a" instead of a #DIV/0! error, because shares outstanding is 0 above — try changing B16 to see it recalculate normally.</t>
        </is>
      </c>
    </row>
    <row r="20"/>
  </sheetData>
  <mergeCells count="3">
    <mergeCell ref="A2:F2"/>
    <mergeCell ref="A1:F1"/>
    <mergeCell ref="A19:F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2026-09-24T22:41:27Z</dcterms:created>
  <dcterms:modified xsi:type="dcterms:W3CDTF">2026-09-24T22:41:27Z</dcterms:modified>
</cp:coreProperties>
</file>