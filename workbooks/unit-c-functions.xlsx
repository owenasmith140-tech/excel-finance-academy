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1 Time Value of Money" sheetId="2" state="visible" r:id="rId2"/>
    <sheet name="C2 Loans &amp; Amortization" sheetId="3" state="visible" r:id="rId3"/>
    <sheet name="C3 NPV &amp; IRR" sheetId="4" state="visible" r:id="rId4"/>
    <sheet name="C4 Sensitivity Tools" sheetId="5" state="visible" r:id="rId5"/>
    <sheet name="Answer Ke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</font>
    <font>
      <name val="Arial"/>
      <b val="1"/>
    </font>
    <font>
      <name val="Arial"/>
      <color rgb="000000FF"/>
    </font>
    <font>
      <name val="Arial"/>
      <i val="1"/>
      <color rgb="00555555"/>
      <sz val="9"/>
    </font>
    <font>
      <name val="Arial"/>
      <b val="1"/>
      <color rgb="001F4E8C"/>
      <sz val="12"/>
    </font>
    <font>
      <name val="Arial"/>
      <sz val="10.5"/>
    </font>
    <font>
      <name val="Arial"/>
      <b val="1"/>
      <color rgb="00FFFFFF"/>
    </font>
    <font>
      <name val="Arial"/>
      <i val="1"/>
      <color rgb="001F4E8C"/>
      <sz val="9.5"/>
    </font>
    <font>
      <name val="Courier New"/>
    </font>
    <font>
      <name val="Arial"/>
      <i val="1"/>
      <color rgb="00777777"/>
      <sz val="9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CEEFF"/>
      </patternFill>
    </fill>
    <fill>
      <patternFill patternType="solid">
        <fgColor rgb="00F2F8FF"/>
      </patternFill>
    </fill>
    <fill>
      <patternFill patternType="solid">
        <fgColor rgb="001F2937"/>
      </patternFill>
    </fill>
  </fills>
  <borders count="6">
    <border>
      <left/>
      <right/>
      <top/>
      <bottom/>
      <diagonal/>
    </border>
    <border>
      <left style="medium">
        <color rgb="004F9DFF"/>
      </left>
      <right style="thin">
        <color rgb="004F9DFF"/>
      </right>
      <top style="thin">
        <color rgb="004F9DFF"/>
      </top>
      <bottom style="thin">
        <color rgb="004F9DFF"/>
      </bottom>
    </border>
    <border>
      <left style="medium">
        <color rgb="004F9DFF"/>
      </left>
      <right style="thin">
        <color rgb="004F9DFF"/>
      </right>
      <top style="medium">
        <color rgb="004F9DFF"/>
      </top>
      <bottom style="thin">
        <color rgb="004F9DFF"/>
      </bottom>
    </border>
    <border>
      <left style="medium">
        <color rgb="004F9DFF"/>
      </left>
      <right style="thin">
        <color rgb="004F9DFF"/>
      </right>
      <top style="thin">
        <color rgb="004F9DFF"/>
      </top>
      <bottom style="medium">
        <color rgb="004F9DFF"/>
      </bottom>
    </border>
    <border>
      <left/>
      <right/>
      <top style="medium">
        <color rgb="004F9DFF"/>
      </top>
      <bottom/>
    </border>
    <border>
      <left/>
      <right/>
      <top/>
      <bottom style="medium">
        <color rgb="004F9D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4" fillId="0" borderId="0" pivotButton="0" quotePrefix="0" xfId="0"/>
    <xf numFmtId="0" fontId="6" fillId="3" borderId="2" pivotButton="0" quotePrefix="0" xfId="0"/>
    <xf numFmtId="0" fontId="0" fillId="3" borderId="4" pivotButton="0" quotePrefix="0" xfId="0"/>
    <xf numFmtId="0" fontId="0" fillId="3" borderId="2" pivotButton="0" quotePrefix="0" xfId="0"/>
    <xf numFmtId="0" fontId="7" fillId="4" borderId="1" applyAlignment="1" pivotButton="0" quotePrefix="0" xfId="0">
      <alignment vertical="top" wrapText="1"/>
    </xf>
    <xf numFmtId="0" fontId="0" fillId="0" borderId="1" pivotButton="0" quotePrefix="0" xfId="0"/>
    <xf numFmtId="0" fontId="7" fillId="4" borderId="3" applyAlignment="1" pivotButton="0" quotePrefix="0" xfId="0">
      <alignment vertical="top" wrapText="1"/>
    </xf>
    <xf numFmtId="0" fontId="0" fillId="0" borderId="5" pivotButton="0" quotePrefix="0" xfId="0"/>
    <xf numFmtId="0" fontId="0" fillId="0" borderId="3" pivotButton="0" quotePrefix="0" xfId="0"/>
    <xf numFmtId="0" fontId="8" fillId="5" borderId="0" pivotButton="0" quotePrefix="0" xfId="0"/>
    <xf numFmtId="0" fontId="9" fillId="4" borderId="3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Excel for Finance course</author>
  </authors>
  <commentList>
    <comment ref="B9" authorId="0" shapeId="0">
      <text>
        <t>Type =FV(B6,B7,0,-B5) here.</t>
      </text>
    </comment>
  </commentList>
</comments>
</file>

<file path=xl/comments/comment2.xml><?xml version="1.0" encoding="utf-8"?>
<comments xmlns="http://schemas.openxmlformats.org/spreadsheetml/2006/main">
  <authors>
    <author>Excel for Finance course</author>
  </authors>
  <commentList>
    <comment ref="B12" authorId="0" shapeId="0">
      <text>
        <t>Copy the formula from the cell directly above (row 11) down into this cell.</t>
      </text>
    </comment>
    <comment ref="C12" authorId="0" shapeId="0">
      <text>
        <t>Copy the formula from the cell directly above (row 11) down into this cell.</t>
      </text>
    </comment>
    <comment ref="D12" authorId="0" shapeId="0">
      <text>
        <t>Copy the formula from the cell directly above (row 11) down into this cell.</t>
      </text>
    </comment>
    <comment ref="E12" authorId="0" shapeId="0">
      <text>
        <t>Copy the formula from the cell directly above (row 11) down into this cell.</t>
      </text>
    </comment>
  </commentList>
</comments>
</file>

<file path=xl/comments/comment3.xml><?xml version="1.0" encoding="utf-8"?>
<comments xmlns="http://schemas.openxmlformats.org/spreadsheetml/2006/main">
  <authors>
    <author>Excel for Finance course</author>
  </authors>
  <commentList>
    <comment ref="B13" authorId="0" shapeId="0">
      <text>
        <t>Type =NPV(B11,B7:B9)+B6 here.</t>
      </text>
    </comment>
    <comment ref="B14" authorId="0" shapeId="0">
      <text>
        <t>Type =IRR(B6:B9) here.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Excel for Finance — Unit C Practice Workbook</t>
        </is>
      </c>
    </row>
    <row r="2">
      <c r="A2" s="2" t="inlineStr">
        <is>
          <t>Companion to the 'Financial Functions' unit on the course website.</t>
        </is>
      </c>
    </row>
    <row r="4">
      <c r="A4" s="3" t="inlineStr">
        <is>
          <t>How to use this workbook</t>
        </is>
      </c>
    </row>
    <row r="5">
      <c r="A5" t="inlineStr">
        <is>
          <t>Each tab has a blue 'YOUR TASK' box with numbered steps — read it first.</t>
        </is>
      </c>
    </row>
    <row r="6">
      <c r="A6" t="inlineStr">
        <is>
          <t>Yellow cells also have a small red comment triangle in the corner — hover over one for a quick reminder of exactly what to type.</t>
        </is>
      </c>
    </row>
    <row r="7">
      <c r="A7" t="inlineStr">
        <is>
          <t>Compare your work against the 'Answer Key' tab at the end — it recalculates live, so it updates as you fill things in. (C4 is an exploration exercise with no single right answer, so it isn't in the Answer Key.)</t>
        </is>
      </c>
    </row>
    <row r="9">
      <c r="A9" s="3" t="inlineStr">
        <is>
          <t>Color legend:</t>
        </is>
      </c>
    </row>
    <row r="10">
      <c r="A10" s="4" t="inlineStr">
        <is>
          <t>Yellow fill</t>
        </is>
      </c>
      <c r="B10">
        <f> a cell you should fill in</f>
        <v/>
      </c>
    </row>
    <row r="11">
      <c r="A11" s="5" t="inlineStr">
        <is>
          <t>Blue text</t>
        </is>
      </c>
      <c r="B11">
        <f> a hardcoded input/assumption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C1 · Time Value of Money</t>
        </is>
      </c>
    </row>
    <row r="2">
      <c r="A2" s="2" t="inlineStr">
        <is>
          <t>Find the future value of a lump-sum investment.</t>
        </is>
      </c>
    </row>
    <row r="3">
      <c r="A3" s="6" t="inlineStr">
        <is>
          <t>🟡 Yellow cell = type something here.   🔵 Blue text = a given input.   Black text = a formula already provided.</t>
        </is>
      </c>
    </row>
    <row r="4"/>
    <row r="5">
      <c r="A5" s="3" t="inlineStr">
        <is>
          <t>Amount invested today ($)</t>
        </is>
      </c>
      <c r="B5" s="5" t="n">
        <v>1000</v>
      </c>
    </row>
    <row r="6">
      <c r="A6" s="3" t="inlineStr">
        <is>
          <t>Annual rate</t>
        </is>
      </c>
      <c r="B6" s="7" t="n">
        <v>0.06</v>
      </c>
    </row>
    <row r="7">
      <c r="A7" s="3" t="inlineStr">
        <is>
          <t>Years</t>
        </is>
      </c>
      <c r="B7" s="5" t="n">
        <v>10</v>
      </c>
    </row>
    <row r="8"/>
    <row r="9">
      <c r="A9" s="3" t="inlineStr">
        <is>
          <t>Future value</t>
        </is>
      </c>
      <c r="B9" s="4" t="n"/>
    </row>
    <row r="10"/>
    <row r="11">
      <c r="A11" s="8" t="inlineStr">
        <is>
          <t>✏️  YOUR TASK</t>
        </is>
      </c>
      <c r="B11" s="9" t="n"/>
      <c r="C11" s="9" t="n"/>
      <c r="D11" s="9" t="n"/>
      <c r="E11" s="9" t="n"/>
      <c r="F11" s="10" t="n"/>
    </row>
    <row r="12" ht="18" customHeight="1">
      <c r="A12" s="11" t="inlineStr">
        <is>
          <t>1. In B9, use the FV function: =FV(rate, years, 0, -amount).</t>
        </is>
      </c>
      <c r="F12" s="12" t="n"/>
    </row>
    <row r="13" ht="18" customHeight="1">
      <c r="A13" s="11" t="inlineStr">
        <is>
          <t>2. The rate is in B6, years in B7, amount invested in B5.</t>
        </is>
      </c>
      <c r="F13" s="12" t="n"/>
    </row>
    <row r="14" ht="54" customHeight="1">
      <c r="A14" s="13" t="inlineStr">
        <is>
          <t>3. Enter the amount (B5) as NEGATIVE inside the formula — money invested today is cash going OUT, so its sign should be negative for FV's sign convention to give you a positive answer back.</t>
        </is>
      </c>
      <c r="B14" s="14" t="n"/>
      <c r="C14" s="14" t="n"/>
      <c r="D14" s="14" t="n"/>
      <c r="E14" s="14" t="n"/>
      <c r="F14" s="15" t="n"/>
    </row>
  </sheetData>
  <mergeCells count="7">
    <mergeCell ref="A2:F2"/>
    <mergeCell ref="A11:F11"/>
    <mergeCell ref="A13:F13"/>
    <mergeCell ref="A14:F14"/>
    <mergeCell ref="A1:F1"/>
    <mergeCell ref="A12:F12"/>
    <mergeCell ref="A3:F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C2 · Loans &amp; Amortization</t>
        </is>
      </c>
    </row>
    <row r="2">
      <c r="A2" s="2" t="inlineStr">
        <is>
          <t>Build a 6-month amortization schedule for a loan.</t>
        </is>
      </c>
    </row>
    <row r="3">
      <c r="A3" s="6" t="inlineStr">
        <is>
          <t>🟡 Yellow cell = type something here.   🔵 Blue text = a given input.   Black text = a formula already provided.</t>
        </is>
      </c>
    </row>
    <row r="4"/>
    <row r="5">
      <c r="A5" s="3" t="inlineStr">
        <is>
          <t>Loan amount ($)</t>
        </is>
      </c>
      <c r="B5" s="5" t="n">
        <v>24000</v>
      </c>
    </row>
    <row r="6">
      <c r="A6" s="3" t="inlineStr">
        <is>
          <t>Annual rate</t>
        </is>
      </c>
      <c r="B6" s="7" t="n">
        <v>0.06</v>
      </c>
    </row>
    <row r="7">
      <c r="A7" s="3" t="inlineStr">
        <is>
          <t>Term (months)</t>
        </is>
      </c>
      <c r="B7" s="5" t="n">
        <v>48</v>
      </c>
    </row>
    <row r="8"/>
    <row r="9">
      <c r="A9" s="16" t="inlineStr">
        <is>
          <t>Period</t>
        </is>
      </c>
      <c r="B9" s="16" t="inlineStr">
        <is>
          <t>Payment</t>
        </is>
      </c>
      <c r="C9" s="16" t="inlineStr">
        <is>
          <t>Interest</t>
        </is>
      </c>
      <c r="D9" s="16" t="inlineStr">
        <is>
          <t>Principal</t>
        </is>
      </c>
      <c r="E9" s="16" t="inlineStr">
        <is>
          <t>Balance</t>
        </is>
      </c>
    </row>
    <row r="10">
      <c r="A10" t="n">
        <v>0</v>
      </c>
      <c r="E10">
        <f>$B$5</f>
        <v/>
      </c>
    </row>
    <row r="11">
      <c r="A11" t="n">
        <v>1</v>
      </c>
      <c r="B11">
        <f>-PMT($B$6/12,$B$7,$B$5)</f>
        <v/>
      </c>
      <c r="C11">
        <f>-IPMT($B$6/12,A11,$B$7,$B$5)</f>
        <v/>
      </c>
      <c r="D11">
        <f>-PPMT($B$6/12,A11,$B$7,$B$5)</f>
        <v/>
      </c>
      <c r="E11">
        <f>E10-D11</f>
        <v/>
      </c>
    </row>
    <row r="12">
      <c r="A12" t="n">
        <v>2</v>
      </c>
      <c r="B12" s="4" t="n"/>
      <c r="C12" s="4" t="n"/>
      <c r="D12" s="4" t="n"/>
      <c r="E12" s="4" t="n"/>
    </row>
    <row r="13">
      <c r="A13" t="n">
        <v>3</v>
      </c>
      <c r="B13" s="4" t="n"/>
      <c r="C13" s="4" t="n"/>
      <c r="D13" s="4" t="n"/>
      <c r="E13" s="4" t="n"/>
    </row>
    <row r="14">
      <c r="A14" t="n">
        <v>4</v>
      </c>
      <c r="B14" s="4" t="n"/>
      <c r="C14" s="4" t="n"/>
      <c r="D14" s="4" t="n"/>
      <c r="E14" s="4" t="n"/>
    </row>
    <row r="15">
      <c r="A15" t="n">
        <v>5</v>
      </c>
      <c r="B15" s="4" t="n"/>
      <c r="C15" s="4" t="n"/>
      <c r="D15" s="4" t="n"/>
      <c r="E15" s="4" t="n"/>
    </row>
    <row r="16">
      <c r="A16" t="n">
        <v>6</v>
      </c>
      <c r="B16" s="4" t="n"/>
      <c r="C16" s="4" t="n"/>
      <c r="D16" s="4" t="n"/>
      <c r="E16" s="4" t="n"/>
    </row>
    <row r="17"/>
    <row r="18">
      <c r="A18" s="8" t="inlineStr">
        <is>
          <t>✏️  YOUR TASK</t>
        </is>
      </c>
      <c r="B18" s="9" t="n"/>
      <c r="C18" s="9" t="n"/>
      <c r="D18" s="9" t="n"/>
      <c r="E18" s="9" t="n"/>
      <c r="F18" s="10" t="n"/>
    </row>
    <row r="19" ht="36" customHeight="1">
      <c r="A19" s="11" t="inlineStr">
        <is>
          <t>1. Row 11 (Period 1) is fully worked out for you — look at its 4 formulas before continuing.</t>
        </is>
      </c>
      <c r="F19" s="12" t="n"/>
    </row>
    <row r="20" ht="54" customHeight="1">
      <c r="A20" s="11" t="inlineStr">
        <is>
          <t>2. Select B11:E11 (all 4 of Period 1's formulas), copy them, then paste into B12:E16 (Periods 2 through 6). Or drag the fill handle from E11 down through E16, then repeat for columns B-D.</t>
        </is>
      </c>
      <c r="F20" s="12" t="n"/>
    </row>
    <row r="21" ht="54" customHeight="1">
      <c r="A21" s="11" t="inlineStr">
        <is>
          <t>3. Payment/Interest/Principal use $-locked references to the loan inputs, so they stay correct wherever you paste them. Balance references the row directly above it, so it also chains correctly down the column.</t>
        </is>
      </c>
      <c r="F21" s="12" t="n"/>
    </row>
    <row r="22">
      <c r="A22" s="17" t="inlineStr">
        <is>
          <t>💡 Sanity check: the Balance in row 16 should be noticeably smaller than in row 11, and Interest should shrink each period while Principal grows.</t>
        </is>
      </c>
      <c r="B22" s="14" t="n"/>
      <c r="C22" s="14" t="n"/>
      <c r="D22" s="14" t="n"/>
      <c r="E22" s="14" t="n"/>
      <c r="F22" s="15" t="n"/>
    </row>
  </sheetData>
  <mergeCells count="8">
    <mergeCell ref="A2:F2"/>
    <mergeCell ref="A19:F19"/>
    <mergeCell ref="A1:F1"/>
    <mergeCell ref="A22:F22"/>
    <mergeCell ref="A18:F18"/>
    <mergeCell ref="A3:F3"/>
    <mergeCell ref="A21:F21"/>
    <mergeCell ref="A20:F20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C3 · NPV &amp; IRR</t>
        </is>
      </c>
    </row>
    <row r="2">
      <c r="A2" s="2" t="inlineStr">
        <is>
          <t>Evaluate a project's cash flows.</t>
        </is>
      </c>
    </row>
    <row r="3">
      <c r="A3" s="6" t="inlineStr">
        <is>
          <t>🟡 Yellow cell = type something here.   🔵 Blue text = a given input.   Black text = a formula already provided.</t>
        </is>
      </c>
    </row>
    <row r="4"/>
    <row r="5">
      <c r="A5" s="16" t="inlineStr">
        <is>
          <t>Year</t>
        </is>
      </c>
      <c r="B5" s="16" t="inlineStr">
        <is>
          <t>Cash Flow ($)</t>
        </is>
      </c>
    </row>
    <row r="6">
      <c r="A6" t="inlineStr">
        <is>
          <t>Year 0 (outlay)</t>
        </is>
      </c>
      <c r="B6" s="5" t="n">
        <v>-1000</v>
      </c>
    </row>
    <row r="7">
      <c r="A7" t="inlineStr">
        <is>
          <t>Year 1</t>
        </is>
      </c>
      <c r="B7" s="5" t="n">
        <v>400</v>
      </c>
    </row>
    <row r="8">
      <c r="A8" t="inlineStr">
        <is>
          <t>Year 2</t>
        </is>
      </c>
      <c r="B8" s="5" t="n">
        <v>400</v>
      </c>
    </row>
    <row r="9">
      <c r="A9" t="inlineStr">
        <is>
          <t>Year 3</t>
        </is>
      </c>
      <c r="B9" s="5" t="n">
        <v>400</v>
      </c>
    </row>
    <row r="10"/>
    <row r="11">
      <c r="A11" s="3" t="inlineStr">
        <is>
          <t>Discount rate</t>
        </is>
      </c>
      <c r="B11" s="7" t="n">
        <v>0.08</v>
      </c>
    </row>
    <row r="12"/>
    <row r="13">
      <c r="A13" s="3" t="inlineStr">
        <is>
          <t>NPV</t>
        </is>
      </c>
      <c r="B13" s="4" t="n"/>
    </row>
    <row r="14">
      <c r="A14" s="3" t="inlineStr">
        <is>
          <t>IRR</t>
        </is>
      </c>
      <c r="B14" s="4" t="n"/>
    </row>
    <row r="15"/>
    <row r="16">
      <c r="A16" s="8" t="inlineStr">
        <is>
          <t>✏️  YOUR TASK</t>
        </is>
      </c>
      <c r="B16" s="9" t="n"/>
      <c r="C16" s="9" t="n"/>
      <c r="D16" s="9" t="n"/>
      <c r="E16" s="9" t="n"/>
      <c r="F16" s="10" t="n"/>
    </row>
    <row r="17" ht="54" customHeight="1">
      <c r="A17" s="11" t="inlineStr">
        <is>
          <t>1. In B13, use NPV to discount the Year 1-3 cash flows (B7:B9) at the rate in B11, THEN add the Year 0 outlay (B6) separately — NPV() assumes its first value happens one period from now, not today.</t>
        </is>
      </c>
      <c r="F17" s="12" t="n"/>
    </row>
    <row r="18" ht="36" customHeight="1">
      <c r="A18" s="11" t="inlineStr">
        <is>
          <t>2. In B14, use IRR on all four cash flows in one range: B6:B9 (Year 0 through Year 3, outlay included this time).</t>
        </is>
      </c>
      <c r="F18" s="12" t="n"/>
    </row>
    <row r="19">
      <c r="A19" s="17" t="inlineStr">
        <is>
          <t>💡 If NPV &gt; 0, the project beats the discount rate. Compare IRR to the discount rate (8%) for the same read.</t>
        </is>
      </c>
      <c r="B19" s="14" t="n"/>
      <c r="C19" s="14" t="n"/>
      <c r="D19" s="14" t="n"/>
      <c r="E19" s="14" t="n"/>
      <c r="F19" s="15" t="n"/>
    </row>
  </sheetData>
  <mergeCells count="7">
    <mergeCell ref="A2:F2"/>
    <mergeCell ref="A16:F16"/>
    <mergeCell ref="A19:F19"/>
    <mergeCell ref="A1:F1"/>
    <mergeCell ref="A17:F17"/>
    <mergeCell ref="A18:F18"/>
    <mergeCell ref="A3:F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C4 · Sensitivity Tools</t>
        </is>
      </c>
    </row>
    <row r="2">
      <c r="A2" s="2" t="inlineStr">
        <is>
          <t>A tiny 3-year project model, ready for Goal Seek and a Data Table.</t>
        </is>
      </c>
    </row>
    <row r="3">
      <c r="A3" s="6" t="inlineStr">
        <is>
          <t>🟡 Yellow cell = type something here.   🔵 Blue text = a given input.   Black text = a formula already provided.</t>
        </is>
      </c>
    </row>
    <row r="4"/>
    <row r="5">
      <c r="A5" s="3" t="inlineStr">
        <is>
          <t>Year 1 FCF ($)</t>
        </is>
      </c>
      <c r="B5" s="5" t="n">
        <v>300</v>
      </c>
    </row>
    <row r="6">
      <c r="A6" s="3" t="inlineStr">
        <is>
          <t>Annual growth rate</t>
        </is>
      </c>
      <c r="B6" s="7" t="n">
        <v>0.05</v>
      </c>
    </row>
    <row r="7">
      <c r="A7" s="3" t="inlineStr">
        <is>
          <t>WACC</t>
        </is>
      </c>
      <c r="B7" s="7" t="n">
        <v>0.1</v>
      </c>
    </row>
    <row r="8"/>
    <row r="9">
      <c r="A9" s="16" t="inlineStr">
        <is>
          <t>Year</t>
        </is>
      </c>
      <c r="B9" s="16" t="inlineStr">
        <is>
          <t>FCF</t>
        </is>
      </c>
    </row>
    <row r="10">
      <c r="A10" t="n">
        <v>1</v>
      </c>
      <c r="B10">
        <f>$B$5</f>
        <v/>
      </c>
    </row>
    <row r="11">
      <c r="A11" t="n">
        <v>2</v>
      </c>
      <c r="B11">
        <f>B10*(1+$B$6)</f>
        <v/>
      </c>
    </row>
    <row r="12">
      <c r="A12" t="n">
        <v>3</v>
      </c>
      <c r="B12">
        <f>B11*(1+$B$6)</f>
        <v/>
      </c>
    </row>
    <row r="13"/>
    <row r="14">
      <c r="A14" s="3" t="inlineStr">
        <is>
          <t>NPV</t>
        </is>
      </c>
      <c r="B14">
        <f>NPV($B$7,B10:B12)</f>
        <v/>
      </c>
    </row>
    <row r="15"/>
    <row r="16"/>
    <row r="17">
      <c r="A17" s="8" t="inlineStr">
        <is>
          <t>✏️  YOUR TASK</t>
        </is>
      </c>
      <c r="B17" s="9" t="n"/>
      <c r="C17" s="9" t="n"/>
      <c r="D17" s="9" t="n"/>
      <c r="E17" s="9" t="n"/>
      <c r="F17" s="10" t="n"/>
    </row>
    <row r="18" ht="36" customHeight="1">
      <c r="A18" s="11" t="inlineStr">
        <is>
          <t>1. Goal Seek: Data tab &gt; What-If Analysis &gt; Goal Seek. Set cell B14 to value 0 by changing cell B6. This finds the growth rate at which the project exactly breaks even.</t>
        </is>
      </c>
      <c r="F18" s="12" t="n"/>
    </row>
    <row r="19" ht="72" customHeight="1">
      <c r="A19" s="11" t="inlineStr">
        <is>
          <t>2. Data Table: pick a blank area, list a few WACC values down one column and a few growth rates across one row, with B14 in the top-left corner of that range. Select the whole range, then Data &gt; What-If Analysis &gt; Data Table — use B7 as the 'Row input cell' and B6 as the 'Column input cell'.</t>
        </is>
      </c>
      <c r="F19" s="12" t="n"/>
    </row>
    <row r="20">
      <c r="A20" s="17" t="inlineStr">
        <is>
          <t>💡 This model (B5:B14) is already fully built with working formulas — there's nothing to fill in here, just run the two tools above on it.</t>
        </is>
      </c>
      <c r="B20" s="14" t="n"/>
      <c r="C20" s="14" t="n"/>
      <c r="D20" s="14" t="n"/>
      <c r="E20" s="14" t="n"/>
      <c r="F20" s="15" t="n"/>
    </row>
  </sheetData>
  <mergeCells count="7">
    <mergeCell ref="A2:F2"/>
    <mergeCell ref="A19:F19"/>
    <mergeCell ref="A1:F1"/>
    <mergeCell ref="A17:F17"/>
    <mergeCell ref="A18:F18"/>
    <mergeCell ref="A3:F3"/>
    <mergeCell ref="A20:F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38" customWidth="1" min="3" max="3"/>
    <col width="30" customWidth="1" min="4" max="4"/>
  </cols>
  <sheetData>
    <row r="1">
      <c r="A1" s="1" t="inlineStr">
        <is>
          <t>Answer Key — Unit C</t>
        </is>
      </c>
    </row>
    <row r="3">
      <c r="A3" s="16" t="inlineStr">
        <is>
          <t>Module</t>
        </is>
      </c>
      <c r="B3" s="16" t="inlineStr">
        <is>
          <t>Cell</t>
        </is>
      </c>
      <c r="C3" s="16" t="inlineStr">
        <is>
          <t>Correct formula</t>
        </is>
      </c>
      <c r="D3" s="16" t="inlineStr">
        <is>
          <t>Live check</t>
        </is>
      </c>
    </row>
    <row r="4">
      <c r="A4" t="inlineStr">
        <is>
          <t>C1 Time Value of Money</t>
        </is>
      </c>
      <c r="B4" t="inlineStr">
        <is>
          <t>B9 (Future value)</t>
        </is>
      </c>
      <c r="C4" s="18" t="inlineStr">
        <is>
          <t>ƒ =FV(B6,B7,0,-B5)</t>
        </is>
      </c>
      <c r="D4">
        <f>'C1 Time Value of Money'!B9</f>
        <v/>
      </c>
    </row>
    <row r="5">
      <c r="A5" t="inlineStr">
        <is>
          <t>C2 Loans &amp; Amortization</t>
        </is>
      </c>
      <c r="B5" t="inlineStr">
        <is>
          <t>row 11 (Period 1, worked)</t>
        </is>
      </c>
      <c r="C5" s="18" t="inlineStr">
        <is>
          <t>ƒ =-PMT($B$6/12,$B$7,$B$5) etc. — see the sheet</t>
        </is>
      </c>
      <c r="D5">
        <f>'C2 Loans &amp; Amortization'!B11</f>
        <v/>
      </c>
    </row>
    <row r="6">
      <c r="A6" t="inlineStr">
        <is>
          <t>C3 NPV &amp; IRR</t>
        </is>
      </c>
      <c r="B6" t="inlineStr">
        <is>
          <t>B13 (NPV)</t>
        </is>
      </c>
      <c r="C6" s="18" t="inlineStr">
        <is>
          <t>ƒ =NPV(B11,B7:B9)+B6</t>
        </is>
      </c>
      <c r="D6">
        <f>'C3 NPV &amp; IRR'!B13</f>
        <v/>
      </c>
    </row>
    <row r="7">
      <c r="A7" t="inlineStr">
        <is>
          <t>C3 NPV &amp; IRR</t>
        </is>
      </c>
      <c r="B7" t="inlineStr">
        <is>
          <t>B14 (IRR)</t>
        </is>
      </c>
      <c r="C7" s="18" t="inlineStr">
        <is>
          <t>ƒ =IRR(B6:B9)</t>
        </is>
      </c>
      <c r="D7">
        <f>'C3 NPV &amp; IRR'!B14</f>
        <v/>
      </c>
    </row>
    <row r="10">
      <c r="A10" s="19" t="inlineStr">
        <is>
          <t>Note: 'Live check' pulls today's value from your own sheet, so once you fill in the yellow cells correctly it will match what you typed. C4 has no single right answer — it's an exploration exercise.</t>
        </is>
      </c>
    </row>
    <row r="11"/>
  </sheetData>
  <mergeCells count="1"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2026-09-24T22:58:43Z</dcterms:created>
  <dcterms:modified xsi:type="dcterms:W3CDTF">2026-09-24T22:58:43Z</dcterms:modified>
</cp:coreProperties>
</file>