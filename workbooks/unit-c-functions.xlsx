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1 Time Value of Money" sheetId="2" state="visible" r:id="rId2"/>
    <sheet name="C2 Loans &amp; Amortization" sheetId="3" state="visible" r:id="rId3"/>
    <sheet name="C3 NPV &amp; IRR" sheetId="4" state="visible" r:id="rId4"/>
    <sheet name="C4 Sensitivity Tools" sheetId="5" state="visible" r:id="rId5"/>
    <sheet name="Answer Ke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b val="1"/>
    </font>
    <font>
      <name val="Arial"/>
      <color rgb="000000FF"/>
    </font>
    <font>
      <name val="Arial"/>
      <i val="1"/>
      <color rgb="00777777"/>
      <sz val="9"/>
    </font>
    <font>
      <name val="Arial"/>
      <i val="1"/>
    </font>
    <font>
      <name val="Arial"/>
      <b val="1"/>
      <color rgb="00FFFFFF"/>
    </font>
    <font>
      <name val="Courier New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164" fontId="4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6" customWidth="1" min="1" max="1"/>
    <col width="55" customWidth="1" min="2" max="2"/>
  </cols>
  <sheetData>
    <row r="1">
      <c r="A1" s="1" t="inlineStr">
        <is>
          <t>Excel for Finance — Unit C Practice Workbook</t>
        </is>
      </c>
    </row>
    <row r="2">
      <c r="A2" s="2" t="inlineStr">
        <is>
          <t>Companion to the 'Financial Functions' unit on the course website.</t>
        </is>
      </c>
    </row>
    <row r="4">
      <c r="A4" s="3" t="inlineStr">
        <is>
          <t>Color legend:</t>
        </is>
      </c>
    </row>
    <row r="5">
      <c r="A5" s="4" t="inlineStr">
        <is>
          <t>Yellow fill</t>
        </is>
      </c>
      <c r="B5">
        <f> a cell you should fill in</f>
        <v/>
      </c>
    </row>
    <row r="6">
      <c r="A6" s="5" t="inlineStr">
        <is>
          <t>Blue text</t>
        </is>
      </c>
      <c r="B6">
        <f> a hardcoded input/assumption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</cols>
  <sheetData>
    <row r="1">
      <c r="A1" s="1" t="inlineStr">
        <is>
          <t>C1 · Time Value of Money</t>
        </is>
      </c>
    </row>
    <row r="2">
      <c r="A2" s="2" t="inlineStr">
        <is>
          <t>Find the future value of a lump-sum investment.</t>
        </is>
      </c>
    </row>
    <row r="3">
      <c r="A3" s="6" t="inlineStr">
        <is>
          <t>Yellow cells are for you to fill in. Everything else is provided.</t>
        </is>
      </c>
    </row>
    <row r="4"/>
    <row r="5">
      <c r="A5" s="3" t="inlineStr">
        <is>
          <t>Amount invested today ($)</t>
        </is>
      </c>
      <c r="B5" s="5" t="n">
        <v>1000</v>
      </c>
    </row>
    <row r="6">
      <c r="A6" s="3" t="inlineStr">
        <is>
          <t>Annual rate</t>
        </is>
      </c>
      <c r="B6" s="7" t="n">
        <v>0.06</v>
      </c>
    </row>
    <row r="7">
      <c r="A7" s="3" t="inlineStr">
        <is>
          <t>Years</t>
        </is>
      </c>
      <c r="B7" s="5" t="n">
        <v>10</v>
      </c>
    </row>
    <row r="8"/>
    <row r="9">
      <c r="A9" s="3" t="inlineStr">
        <is>
          <t>Future value</t>
        </is>
      </c>
      <c r="B9" s="4" t="n"/>
    </row>
    <row r="10"/>
    <row r="11">
      <c r="A11" s="8" t="inlineStr">
        <is>
          <t>Task: use FV(rate, years, 0, -amount) to find the future value. Remember: money invested today is cash OUT, so it goes in as a negative.</t>
        </is>
      </c>
    </row>
    <row r="12"/>
  </sheetData>
  <mergeCells count="4">
    <mergeCell ref="A3:F3"/>
    <mergeCell ref="A2:F2"/>
    <mergeCell ref="A1:F1"/>
    <mergeCell ref="A11:F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1" customWidth="1" min="3" max="3"/>
    <col width="11" customWidth="1" min="4" max="4"/>
    <col width="11" customWidth="1" min="5" max="5"/>
  </cols>
  <sheetData>
    <row r="1">
      <c r="A1" s="1" t="inlineStr">
        <is>
          <t>C2 · Loans &amp; Amortization</t>
        </is>
      </c>
    </row>
    <row r="2">
      <c r="A2" s="2" t="inlineStr">
        <is>
          <t>Build a 6-month amortization schedule for a loan.</t>
        </is>
      </c>
    </row>
    <row r="3">
      <c r="A3" s="6" t="inlineStr">
        <is>
          <t>Yellow cells are for you to fill in. Everything else is provided.</t>
        </is>
      </c>
    </row>
    <row r="4"/>
    <row r="5">
      <c r="A5" s="3" t="inlineStr">
        <is>
          <t>Loan amount ($)</t>
        </is>
      </c>
      <c r="B5" s="5" t="n">
        <v>24000</v>
      </c>
    </row>
    <row r="6">
      <c r="A6" s="3" t="inlineStr">
        <is>
          <t>Annual rate</t>
        </is>
      </c>
      <c r="B6" s="7" t="n">
        <v>0.06</v>
      </c>
    </row>
    <row r="7">
      <c r="A7" s="3" t="inlineStr">
        <is>
          <t>Term (months)</t>
        </is>
      </c>
      <c r="B7" s="5" t="n">
        <v>48</v>
      </c>
    </row>
    <row r="8"/>
    <row r="9">
      <c r="A9" s="9" t="inlineStr">
        <is>
          <t>Period</t>
        </is>
      </c>
      <c r="B9" s="9" t="inlineStr">
        <is>
          <t>Payment</t>
        </is>
      </c>
      <c r="C9" s="9" t="inlineStr">
        <is>
          <t>Interest</t>
        </is>
      </c>
      <c r="D9" s="9" t="inlineStr">
        <is>
          <t>Principal</t>
        </is>
      </c>
      <c r="E9" s="9" t="inlineStr">
        <is>
          <t>Balance</t>
        </is>
      </c>
    </row>
    <row r="10">
      <c r="A10" t="n">
        <v>0</v>
      </c>
      <c r="E10">
        <f>$B$5</f>
        <v/>
      </c>
    </row>
    <row r="11">
      <c r="A11" t="n">
        <v>1</v>
      </c>
      <c r="B11">
        <f>-PMT($B$6/12,$B$7,$B$5)</f>
        <v/>
      </c>
      <c r="C11">
        <f>-IPMT($B$6/12,A11,$B$7,$B$5)</f>
        <v/>
      </c>
      <c r="D11">
        <f>-PPMT($B$6/12,A11,$B$7,$B$5)</f>
        <v/>
      </c>
      <c r="E11">
        <f>E10-D11</f>
        <v/>
      </c>
    </row>
    <row r="12">
      <c r="A12" t="n">
        <v>2</v>
      </c>
      <c r="B12" s="4" t="n"/>
      <c r="C12" s="4" t="n"/>
      <c r="D12" s="4" t="n"/>
      <c r="E12" s="4" t="n"/>
    </row>
    <row r="13">
      <c r="A13" t="n">
        <v>3</v>
      </c>
      <c r="B13" s="4" t="n"/>
      <c r="C13" s="4" t="n"/>
      <c r="D13" s="4" t="n"/>
      <c r="E13" s="4" t="n"/>
    </row>
    <row r="14">
      <c r="A14" t="n">
        <v>4</v>
      </c>
      <c r="B14" s="4" t="n"/>
      <c r="C14" s="4" t="n"/>
      <c r="D14" s="4" t="n"/>
      <c r="E14" s="4" t="n"/>
    </row>
    <row r="15">
      <c r="A15" t="n">
        <v>5</v>
      </c>
      <c r="B15" s="4" t="n"/>
      <c r="C15" s="4" t="n"/>
      <c r="D15" s="4" t="n"/>
      <c r="E15" s="4" t="n"/>
    </row>
    <row r="16">
      <c r="A16" t="n">
        <v>6</v>
      </c>
      <c r="B16" s="4" t="n"/>
      <c r="C16" s="4" t="n"/>
      <c r="D16" s="4" t="n"/>
      <c r="E16" s="4" t="n"/>
    </row>
    <row r="17"/>
    <row r="18">
      <c r="A18" s="8" t="inlineStr">
        <is>
          <t>Task: rows 12-16 (months 2-6) are blank. Copy every formula from row 11 down — Payment/Interest/Principal use the loan inputs (locked with $) and the period number (relative, column A); Balance = the row above's balance minus this period's principal, so it also copies down cleanly.</t>
        </is>
      </c>
    </row>
    <row r="19"/>
    <row r="20"/>
  </sheetData>
  <mergeCells count="4">
    <mergeCell ref="A3:F3"/>
    <mergeCell ref="A2:F2"/>
    <mergeCell ref="A18:F20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</cols>
  <sheetData>
    <row r="1">
      <c r="A1" s="1" t="inlineStr">
        <is>
          <t>C3 · NPV &amp; IRR</t>
        </is>
      </c>
    </row>
    <row r="2">
      <c r="A2" s="2" t="inlineStr">
        <is>
          <t>Evaluate a project's cash flows.</t>
        </is>
      </c>
    </row>
    <row r="3">
      <c r="A3" s="6" t="inlineStr">
        <is>
          <t>Yellow cells are for you to fill in. Everything else is provided.</t>
        </is>
      </c>
    </row>
    <row r="4"/>
    <row r="5">
      <c r="A5" s="9" t="inlineStr">
        <is>
          <t>Year</t>
        </is>
      </c>
      <c r="B5" s="9" t="inlineStr">
        <is>
          <t>Cash Flow ($)</t>
        </is>
      </c>
    </row>
    <row r="6">
      <c r="A6" t="inlineStr">
        <is>
          <t>Year 0 (outlay)</t>
        </is>
      </c>
      <c r="B6" s="5" t="n">
        <v>-1000</v>
      </c>
    </row>
    <row r="7">
      <c r="A7" t="inlineStr">
        <is>
          <t>Year 1</t>
        </is>
      </c>
      <c r="B7" s="5" t="n">
        <v>400</v>
      </c>
    </row>
    <row r="8">
      <c r="A8" t="inlineStr">
        <is>
          <t>Year 2</t>
        </is>
      </c>
      <c r="B8" s="5" t="n">
        <v>400</v>
      </c>
    </row>
    <row r="9">
      <c r="A9" t="inlineStr">
        <is>
          <t>Year 3</t>
        </is>
      </c>
      <c r="B9" s="5" t="n">
        <v>400</v>
      </c>
    </row>
    <row r="10"/>
    <row r="11">
      <c r="A11" s="3" t="inlineStr">
        <is>
          <t>Discount rate</t>
        </is>
      </c>
      <c r="B11" s="7" t="n">
        <v>0.08</v>
      </c>
    </row>
    <row r="12"/>
    <row r="13">
      <c r="A13" s="3" t="inlineStr">
        <is>
          <t>NPV</t>
        </is>
      </c>
      <c r="B13" s="4" t="n"/>
    </row>
    <row r="14">
      <c r="A14" s="3" t="inlineStr">
        <is>
          <t>IRR</t>
        </is>
      </c>
      <c r="B14" s="4" t="n"/>
    </row>
    <row r="15"/>
    <row r="16">
      <c r="A16" s="8" t="inlineStr">
        <is>
          <t>Task: B13 = NPV(rate, years 1-3) plus the year-0 outlay added separately. B14 = IRR of all four cash flows (year 0 through year 3) in one range.</t>
        </is>
      </c>
    </row>
    <row r="17"/>
  </sheetData>
  <mergeCells count="4">
    <mergeCell ref="A3:F3"/>
    <mergeCell ref="A2:F2"/>
    <mergeCell ref="A16:F17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</cols>
  <sheetData>
    <row r="1">
      <c r="A1" s="1" t="inlineStr">
        <is>
          <t>C4 · Sensitivity Tools</t>
        </is>
      </c>
    </row>
    <row r="2">
      <c r="A2" s="2" t="inlineStr">
        <is>
          <t>A tiny 3-year project model, ready for Goal Seek and a Data Table.</t>
        </is>
      </c>
    </row>
    <row r="3">
      <c r="A3" s="6" t="inlineStr">
        <is>
          <t>Yellow cells are for you to fill in. Everything else is provided.</t>
        </is>
      </c>
    </row>
    <row r="4"/>
    <row r="5">
      <c r="A5" s="3" t="inlineStr">
        <is>
          <t>Year 1 FCF ($)</t>
        </is>
      </c>
      <c r="B5" s="5" t="n">
        <v>300</v>
      </c>
    </row>
    <row r="6">
      <c r="A6" s="3" t="inlineStr">
        <is>
          <t>Annual growth rate</t>
        </is>
      </c>
      <c r="B6" s="7" t="n">
        <v>0.05</v>
      </c>
    </row>
    <row r="7">
      <c r="A7" s="3" t="inlineStr">
        <is>
          <t>WACC</t>
        </is>
      </c>
      <c r="B7" s="7" t="n">
        <v>0.1</v>
      </c>
    </row>
    <row r="8"/>
    <row r="9">
      <c r="A9" s="9" t="inlineStr">
        <is>
          <t>Year</t>
        </is>
      </c>
      <c r="B9" s="9" t="inlineStr">
        <is>
          <t>FCF</t>
        </is>
      </c>
    </row>
    <row r="10">
      <c r="A10" t="n">
        <v>1</v>
      </c>
      <c r="B10">
        <f>$B$5</f>
        <v/>
      </c>
    </row>
    <row r="11">
      <c r="A11" t="n">
        <v>2</v>
      </c>
      <c r="B11">
        <f>B10*(1+$B$6)</f>
        <v/>
      </c>
    </row>
    <row r="12">
      <c r="A12" t="n">
        <v>3</v>
      </c>
      <c r="B12">
        <f>B11*(1+$B$6)</f>
        <v/>
      </c>
    </row>
    <row r="13"/>
    <row r="14">
      <c r="A14" s="3" t="inlineStr">
        <is>
          <t>NPV</t>
        </is>
      </c>
      <c r="B14">
        <f>NPV($B$7,B10:B12)</f>
        <v/>
      </c>
    </row>
    <row r="15"/>
    <row r="16"/>
    <row r="17">
      <c r="A17" s="3" t="inlineStr">
        <is>
          <t>Try it yourself:</t>
        </is>
      </c>
    </row>
    <row r="18">
      <c r="A18" t="inlineStr">
        <is>
          <t>1. Goal Seek: Data &gt; What-If Analysis &gt; Goal Seek. Set B14 to 0 by changing B6 — what growth rate makes this project break even?</t>
        </is>
      </c>
    </row>
    <row r="19">
      <c r="A19" t="inlineStr">
        <is>
          <t>2. Data Table: list a range of WACC values down a column and growth rates across a row around B14, then Data &gt; What-If Analysis &gt; Data Table, using B7 as the row input cell and B6 as the column input cell.</t>
        </is>
      </c>
    </row>
  </sheetData>
  <mergeCells count="5">
    <mergeCell ref="A2:F2"/>
    <mergeCell ref="A19:F19"/>
    <mergeCell ref="A1:F1"/>
    <mergeCell ref="A18:F18"/>
    <mergeCell ref="A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6" customWidth="1" min="1" max="1"/>
    <col width="24" customWidth="1" min="2" max="2"/>
    <col width="38" customWidth="1" min="3" max="3"/>
    <col width="30" customWidth="1" min="4" max="4"/>
  </cols>
  <sheetData>
    <row r="1">
      <c r="A1" s="1" t="inlineStr">
        <is>
          <t>Answer Key — Unit C</t>
        </is>
      </c>
    </row>
    <row r="3">
      <c r="A3" s="9" t="inlineStr">
        <is>
          <t>Module</t>
        </is>
      </c>
      <c r="B3" s="9" t="inlineStr">
        <is>
          <t>Cell</t>
        </is>
      </c>
      <c r="C3" s="9" t="inlineStr">
        <is>
          <t>Correct formula</t>
        </is>
      </c>
      <c r="D3" s="9" t="inlineStr">
        <is>
          <t>Live check</t>
        </is>
      </c>
    </row>
    <row r="4">
      <c r="A4" t="inlineStr">
        <is>
          <t>C1 Time Value of Money</t>
        </is>
      </c>
      <c r="B4" t="inlineStr">
        <is>
          <t>B9 (Future value)</t>
        </is>
      </c>
      <c r="C4" s="10" t="inlineStr">
        <is>
          <t>ƒ =FV(B6,B7,0,-B5)</t>
        </is>
      </c>
      <c r="D4">
        <f>'C1 Time Value of Money'!B9</f>
        <v/>
      </c>
    </row>
    <row r="5">
      <c r="A5" t="inlineStr">
        <is>
          <t>C2 Loans &amp; Amortization</t>
        </is>
      </c>
      <c r="B5" t="inlineStr">
        <is>
          <t>row 11 (Period 1, worked)</t>
        </is>
      </c>
      <c r="C5" s="10" t="inlineStr">
        <is>
          <t>ƒ =-PMT($B$6/12,$B$7,$B$5) etc. — see the sheet</t>
        </is>
      </c>
      <c r="D5">
        <f>'C2 Loans &amp; Amortization'!B11</f>
        <v/>
      </c>
    </row>
    <row r="6">
      <c r="A6" t="inlineStr">
        <is>
          <t>C3 NPV &amp; IRR</t>
        </is>
      </c>
      <c r="B6" t="inlineStr">
        <is>
          <t>B13 (NPV)</t>
        </is>
      </c>
      <c r="C6" s="10" t="inlineStr">
        <is>
          <t>ƒ =NPV(B11,B7:B9)+B6</t>
        </is>
      </c>
      <c r="D6">
        <f>'C3 NPV &amp; IRR'!B13</f>
        <v/>
      </c>
    </row>
    <row r="7">
      <c r="A7" t="inlineStr">
        <is>
          <t>C3 NPV &amp; IRR</t>
        </is>
      </c>
      <c r="B7" t="inlineStr">
        <is>
          <t>B14 (IRR)</t>
        </is>
      </c>
      <c r="C7" s="10" t="inlineStr">
        <is>
          <t>ƒ =IRR(B6:B9)</t>
        </is>
      </c>
      <c r="D7">
        <f>'C3 NPV &amp; IRR'!B14</f>
        <v/>
      </c>
    </row>
    <row r="10">
      <c r="A10" s="6" t="inlineStr">
        <is>
          <t>Note: 'Live check' pulls today's value from your own sheet, so once you fill in the yellow cells correctly it will match what you typed. C4 has no single right answer — it's an exploration exercise.</t>
        </is>
      </c>
    </row>
    <row r="11"/>
  </sheetData>
  <mergeCells count="1">
    <mergeCell ref="A10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2026-09-24T22:41:27Z</dcterms:created>
  <dcterms:modified xsi:type="dcterms:W3CDTF">2026-09-24T22:41:27Z</dcterms:modified>
</cp:coreProperties>
</file>